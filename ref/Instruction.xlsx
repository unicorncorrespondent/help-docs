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yuanjin/Desktop/Frankie/Archive/03 Career/百度-Paddle Helix-内容运营/03-Output/Doc/B1-文档与教程结构重构/B1-1-帮助文档页面内容/toWrite/"/>
    </mc:Choice>
  </mc:AlternateContent>
  <xr:revisionPtr revIDLastSave="0" documentId="13_ncr:1_{12EE441E-392E-EE45-AA4E-C022C177902F}" xr6:coauthVersionLast="47" xr6:coauthVersionMax="47" xr10:uidLastSave="{00000000-0000-0000-0000-000000000000}"/>
  <bookViews>
    <workbookView xWindow="240" yWindow="760" windowWidth="17100" windowHeight="21480" xr2:uid="{F41EFB22-12D3-4C4D-9D43-1BA8338ECCD3}"/>
  </bookViews>
  <sheets>
    <sheet name="4 PaddleHelix 帮助文档重构-v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6" l="1"/>
  <c r="L6" i="6"/>
  <c r="L4" i="6"/>
  <c r="M4" i="6" s="1"/>
  <c r="M5" i="6" l="1"/>
  <c r="M6" i="6"/>
</calcChain>
</file>

<file path=xl/sharedStrings.xml><?xml version="1.0" encoding="utf-8"?>
<sst xmlns="http://schemas.openxmlformats.org/spreadsheetml/2006/main" count="443" uniqueCount="241">
  <si>
    <t>FAQ</t>
  </si>
  <si>
    <t>更新日志</t>
  </si>
  <si>
    <t>联系方式</t>
  </si>
  <si>
    <t>层级1</t>
  </si>
  <si>
    <t>层级2</t>
  </si>
  <si>
    <t>层级3</t>
  </si>
  <si>
    <t>主页</t>
  </si>
  <si>
    <t>快速上手</t>
  </si>
  <si>
    <t>内容</t>
  </si>
  <si>
    <t>（1）电子联系方式：电子邮箱/微信/官方网站
（2）实体联系方式：电话/地址</t>
  </si>
  <si>
    <t>（1）重要公告
（2）重要更新（例如，功能、页面）</t>
  </si>
  <si>
    <t>常见问题
（FAQ）</t>
  </si>
  <si>
    <t>（1）产品概述
（2）帮助文档内容整理（链接）
（3）注意事项</t>
  </si>
  <si>
    <t>（1）平台使用
（2）模型选择
（3）参数功能</t>
  </si>
  <si>
    <t>多肽/蛋白药物研发</t>
  </si>
  <si>
    <t>小分子药物研发</t>
  </si>
  <si>
    <t>mRNA药物研发</t>
  </si>
  <si>
    <t>帐号权限及定价</t>
  </si>
  <si>
    <t>帐号登记与身份说明</t>
  </si>
  <si>
    <t>计费与价格</t>
  </si>
  <si>
    <t>点券系统</t>
  </si>
  <si>
    <t>NA</t>
  </si>
  <si>
    <t>（1）帐号等级与权限
（2）升级高级版
（3）学术身份认证</t>
  </si>
  <si>
    <t>（1）计费模块列表
（2）费用说明
（3）欠费处理</t>
  </si>
  <si>
    <t>（1）如何获取点券
（2）点券的使用规则
（3）点券查询</t>
  </si>
  <si>
    <t>现有页面</t>
  </si>
  <si>
    <t>结构预测</t>
  </si>
  <si>
    <t>小蛋白设计</t>
  </si>
  <si>
    <t>抗体设计</t>
  </si>
  <si>
    <t>更新日志-3.0 版本
更新日志-2.0版本</t>
  </si>
  <si>
    <t>帐号权限及定价-帐号权限及定价</t>
  </si>
  <si>
    <t>帐号权限及定价-计费与价格</t>
  </si>
  <si>
    <t>帐号权限及定价-点券系统</t>
  </si>
  <si>
    <t>虚拟筛选</t>
  </si>
  <si>
    <t>UTR设计</t>
  </si>
  <si>
    <t>层级4</t>
  </si>
  <si>
    <t>模型选择</t>
  </si>
  <si>
    <t>序列输入</t>
  </si>
  <si>
    <t>添加修饰</t>
  </si>
  <si>
    <t>结果解读</t>
  </si>
  <si>
    <t>常见问题 FAQ</t>
  </si>
  <si>
    <t>模式选择</t>
  </si>
  <si>
    <t>结构输入</t>
  </si>
  <si>
    <t>靶点选择</t>
  </si>
  <si>
    <t>参考结构</t>
  </si>
  <si>
    <t>其他参数设置</t>
  </si>
  <si>
    <t>数据下载</t>
  </si>
  <si>
    <t>设计区域选择</t>
  </si>
  <si>
    <t>（1）页面目的
（2）快速总结 key takeaway</t>
  </si>
  <si>
    <t>小分子性质预测</t>
  </si>
  <si>
    <t>分子设计</t>
  </si>
  <si>
    <t>结合自由能计算</t>
  </si>
  <si>
    <t>数据输入</t>
  </si>
  <si>
    <t>定义结合位点</t>
  </si>
  <si>
    <t>定义骨架和生长位点</t>
  </si>
  <si>
    <t>参数配置</t>
  </si>
  <si>
    <t>设定分子库</t>
  </si>
  <si>
    <t>设定相互作用约束</t>
  </si>
  <si>
    <t>二级结构预测</t>
  </si>
  <si>
    <t>高表达序列设计</t>
  </si>
  <si>
    <t>版本选择</t>
  </si>
  <si>
    <t>（3）&amp;（4）：多肽/蛋白药物研发-HelixFold3模型-模型总览-背景&amp;亮点介绍</t>
  </si>
  <si>
    <t>（1）页面目的
（2）快速总结 key takeaway - 模型选择判断条件
（3）HF3 介绍
（4）HF-S1 介绍
（5）如何选择</t>
  </si>
  <si>
    <t>（5）：多肽/蛋白药物研发-HelixFold3模型-HF3/S1操作说明-操作说明-选择模型</t>
  </si>
  <si>
    <t>（1）页面目的
（2）快速总结 key takeaway
（3）输入实体数据</t>
  </si>
  <si>
    <t>（3）：多肽/蛋白药物研发-HelixFold3模型-HF3/S1操作说明-操作说明-输入实体</t>
  </si>
  <si>
    <t>（1）页面目的
（2）快速总结 key takeaway
（3）添加修饰
（4）添加反向互补序列</t>
  </si>
  <si>
    <t>（3）&amp;（4）：多肽/蛋白药物研发-HelixFold3模型-HF3/S1操作说明-操作说明-实体操作</t>
  </si>
  <si>
    <t>指定相互作用（HelixFold3）</t>
  </si>
  <si>
    <t>限定采样范围</t>
  </si>
  <si>
    <t>（1）页面目的
（2）快速总结 key takeaway
（3）参数介绍与推荐</t>
  </si>
  <si>
    <t>（1）页面目的
（2）快速总结 key takeaway
（3）参考结构格式
（4）结构上传
（5）链选择与匹配
（6）其他操作</t>
  </si>
  <si>
    <t>多肽/蛋白药物研发-HelixFold3模型-HF3/S1操作说明-操作说明-指定相互作用</t>
  </si>
  <si>
    <t>多肽/蛋白药物研发-HelixFold3模型-HF3/S1操作说明-操作说明-限定Contact采样范围</t>
  </si>
  <si>
    <t>（3）-（5）：多肽/蛋白药物研发-HelixFold3模型-HF3/S1操作说明-操作说明-上传参考结构</t>
  </si>
  <si>
    <t>多肽/蛋白药物研发-HelixFold3模型-HF3/S1操作说明-操作说明-其他参数设置</t>
  </si>
  <si>
    <t>多肽/蛋白药物研发-HelixFold3模型-HF3/S1操作说明-操作说明-查看结果</t>
  </si>
  <si>
    <t>多肽/蛋白药物研发-HelixFold3模型-HF3/S1操作说明-操作说明-数据下载</t>
  </si>
  <si>
    <t>（1）定价</t>
  </si>
  <si>
    <t>多肽/蛋白药物研发-HelixFold3应用-小蛋白设计说明-背景介绍</t>
  </si>
  <si>
    <t>多肽/蛋白药物研发-HelixFold3应用-抗体设计说明-背景介绍</t>
  </si>
  <si>
    <t>多肽/蛋白药物研发-HelixFold3应用-抗体设计说明-使用说明-数据准备&amp;数据录入</t>
  </si>
  <si>
    <t>多肽/蛋白药物研发-HelixFold3应用-抗体设计说明-使用说明-选择目标设计链&amp;选择设计区域</t>
  </si>
  <si>
    <t>多肽/蛋白药物研发-HelixFold3应用-抗体设计说明-使用说明-结果页面展示</t>
  </si>
  <si>
    <t>多肽/蛋白药物研发-HelixFold3应用-抗体设计说明-数据下载</t>
  </si>
  <si>
    <t>多肽/蛋白药物研发-HelixFold3应用-小蛋白设计说明-使用说明-数据准备&amp;数据录入</t>
  </si>
  <si>
    <t>多肽/蛋白药物研发-HelixFold3应用-小蛋白设计说明-使用说明-结果页面展示</t>
  </si>
  <si>
    <t>多肽/蛋白药物研发-HelixFold3应用-小蛋白设计说明-数据下载</t>
  </si>
  <si>
    <t>多肽/蛋白药物研发-HelixFold3应用-小蛋白设计说明-使用说明-靶点选择</t>
  </si>
  <si>
    <t>多肽/蛋白药物研发-HelixFold3应用-小蛋白设计说明-使用说明-参考结构</t>
  </si>
  <si>
    <t>多肽/蛋白药物研发-HelixFold3应用-小蛋白设计说明-使用说明-其他参数设置</t>
  </si>
  <si>
    <t>小分子药物研发-HelixADMET基线-背景介绍</t>
  </si>
  <si>
    <t>小分子药物研发-HelixVS-Syn-背景介绍</t>
  </si>
  <si>
    <t>小分子药物研发-HelixVS-背景介绍</t>
  </si>
  <si>
    <t>小分子药物研发-HelixADMET基线-结果解读</t>
  </si>
  <si>
    <t>小分子药物研发-HelixADMET基线-数据输入</t>
  </si>
  <si>
    <t>小分子药物研发-HelixADMET基线-数据下载</t>
  </si>
  <si>
    <t>小分子药物研发-HelixVS-Syn-数据输入</t>
  </si>
  <si>
    <t>小分子药物研发-HelixVS-Syn-结果解读</t>
  </si>
  <si>
    <t>小分子药物研发-HelixVS-Syn-定义结合位点</t>
  </si>
  <si>
    <t>小分子药物研发-HelixVS-Syn-数据下载</t>
  </si>
  <si>
    <t>小分子药物研发-HelixVS-数据输入</t>
  </si>
  <si>
    <t>小分子药物研发-HelixVS-定义结合位点</t>
  </si>
  <si>
    <t>小分子药物研发-HelixVS-结果解读</t>
  </si>
  <si>
    <t>小分子药物研发-HelixVS-数据下载</t>
  </si>
  <si>
    <t>小分子药物研发-HelixVS-定义骨架和生长位点</t>
  </si>
  <si>
    <t>小分子药物研发-HelixVS-Syn-设定分子库</t>
  </si>
  <si>
    <t>小分子药物研发-HelixVS-Syn-设定相互作用约束</t>
  </si>
  <si>
    <t>小分子药物研发-MMGBSA-背景介绍</t>
  </si>
  <si>
    <t>小分子药物研发-MMGBSA-数据输入</t>
  </si>
  <si>
    <t>小分子药物研发-MMGBSA-参数配置</t>
  </si>
  <si>
    <t>小分子药物研发-MMGBSA-结果解读</t>
  </si>
  <si>
    <t>小分子药物研发-MMGBSA-数据下载</t>
  </si>
  <si>
    <t>mRNA 药物研发-LinearFold/LinearPartition-背景介绍</t>
  </si>
  <si>
    <t>（1）页面目的
（2）快速总结 key takeaway - 模型选择判断条件
（3）LinearFold 介绍
（4）LinearPartition 介绍
（5）如何选择</t>
  </si>
  <si>
    <t xml:space="preserve">mRNA 药物研发-LinearFold/LinearPartition-数据输入 </t>
  </si>
  <si>
    <t>mRNA 药物研发-LinearFold/LinearPartition-参数配置</t>
  </si>
  <si>
    <t>mRNA 药物研发-LinearFold/LinearPartition-结果解读</t>
  </si>
  <si>
    <t>mRNA 药物研发-LinearFold/LinearPartition-数据下载</t>
  </si>
  <si>
    <t>mRNA 药物研发-LinearDesign-背景介绍</t>
  </si>
  <si>
    <t xml:space="preserve">mRNA 药物研发-LinearDesign-数据输入 </t>
  </si>
  <si>
    <t>mRNA 药物研发-LinearDesign-参数配置</t>
  </si>
  <si>
    <t>mRNA 药物研发-LinearDesign-结果解读</t>
  </si>
  <si>
    <t>mRNA 药物研发-LinearDesign-数据下载</t>
  </si>
  <si>
    <t>mRNA 药物研发-LinearDesign-版本说明</t>
  </si>
  <si>
    <t>mRNA 药物研发-HelixUTRDesign-背景介绍</t>
  </si>
  <si>
    <t xml:space="preserve">mRNA 药物研发-HelixUTRDesign-数据输入 </t>
  </si>
  <si>
    <t>mRNA 药物研发-HelixUTRDesign-参数配置</t>
  </si>
  <si>
    <t>mRNA 药物研发-HelixUTRDesign-结果解读</t>
  </si>
  <si>
    <t>mRNA 药物研发-HelixUTRDesign-数据下载</t>
  </si>
  <si>
    <t>PaddleHelix帮助文档结构</t>
  </si>
  <si>
    <t>案例背景</t>
  </si>
  <si>
    <t>输入数据</t>
  </si>
  <si>
    <t>A-00-Welcome.md</t>
  </si>
  <si>
    <t>C-00-00-ProteinMain.md</t>
  </si>
  <si>
    <t>C-02-01.md</t>
  </si>
  <si>
    <t>C-01-00.md</t>
  </si>
  <si>
    <t>C-01-01.md</t>
  </si>
  <si>
    <t>C-01-02.md</t>
  </si>
  <si>
    <t>C-01-03.md</t>
  </si>
  <si>
    <t>C-01-04.md</t>
  </si>
  <si>
    <t>C-01-05.md</t>
  </si>
  <si>
    <t>C-01-06.md</t>
  </si>
  <si>
    <t>C-01-07.md</t>
  </si>
  <si>
    <t>C-01-08.md</t>
  </si>
  <si>
    <t>C-01-09.md</t>
  </si>
  <si>
    <t>C-02-02.md</t>
  </si>
  <si>
    <t>C-02-03.md</t>
  </si>
  <si>
    <t>C-02-04.md</t>
  </si>
  <si>
    <t>C-02-05.md</t>
  </si>
  <si>
    <t>C-02-06.md</t>
  </si>
  <si>
    <t>C-02-07.md</t>
  </si>
  <si>
    <t>C-02-08.md</t>
  </si>
  <si>
    <t>C-02-09.md</t>
  </si>
  <si>
    <t>C-03-01.md</t>
  </si>
  <si>
    <t>C-03-02.md</t>
  </si>
  <si>
    <t>C-03-03.md</t>
  </si>
  <si>
    <t>C-03-04.md</t>
  </si>
  <si>
    <t>C-03-05.md</t>
  </si>
  <si>
    <t>C-03-06.md</t>
  </si>
  <si>
    <t>D-01-00.md</t>
  </si>
  <si>
    <t>D-00-00-ChemicalMain.md</t>
  </si>
  <si>
    <t>D-01-01.md</t>
  </si>
  <si>
    <t>D-01-02.md</t>
  </si>
  <si>
    <t>D-01-03.md</t>
  </si>
  <si>
    <t>D-02-01.md</t>
  </si>
  <si>
    <t>D-02-02.md</t>
  </si>
  <si>
    <t>D-02-03.md</t>
  </si>
  <si>
    <t>D-02-04.md</t>
  </si>
  <si>
    <t>D-02-05.md</t>
  </si>
  <si>
    <t>D-02-06.md</t>
  </si>
  <si>
    <t>D-02-07.md</t>
  </si>
  <si>
    <t>D-03-01.md</t>
  </si>
  <si>
    <t>D-03-02.md</t>
  </si>
  <si>
    <t>D-03-03.md</t>
  </si>
  <si>
    <t>D-03-04.md</t>
  </si>
  <si>
    <t>D-03-05.md</t>
  </si>
  <si>
    <t>D-03-06.md</t>
  </si>
  <si>
    <t>D-04-01.md</t>
  </si>
  <si>
    <t>D-04-02.md</t>
  </si>
  <si>
    <t>D-04-03.md</t>
  </si>
  <si>
    <t>D-04-04.md</t>
  </si>
  <si>
    <t>D-04-05.md</t>
  </si>
  <si>
    <t>D-04-06.md</t>
  </si>
  <si>
    <t>D-01-04.md</t>
  </si>
  <si>
    <t>D-03-08.md</t>
  </si>
  <si>
    <t>D-03-07.md</t>
  </si>
  <si>
    <t>E-00-00-ChemicalMain.md</t>
  </si>
  <si>
    <t>E-01-00.md</t>
  </si>
  <si>
    <t>E-01-01.md</t>
  </si>
  <si>
    <t>E-01-02.md</t>
  </si>
  <si>
    <t>E-01-03.md</t>
  </si>
  <si>
    <t>E-01-04.md</t>
  </si>
  <si>
    <t>E-01-05.md</t>
  </si>
  <si>
    <t>E-01-06.md</t>
  </si>
  <si>
    <t>E-02-01.md</t>
  </si>
  <si>
    <t>E-02-02.md</t>
  </si>
  <si>
    <t>E-02-03.md</t>
  </si>
  <si>
    <t>E-02-04.md</t>
  </si>
  <si>
    <t>E-02-05.md</t>
  </si>
  <si>
    <t>E-02-06.md</t>
  </si>
  <si>
    <t>E-02-07.md</t>
  </si>
  <si>
    <t>E-03-01.md</t>
  </si>
  <si>
    <t>E-03-02.md</t>
  </si>
  <si>
    <t>E-03-03.md</t>
  </si>
  <si>
    <t>E-03-04.md</t>
  </si>
  <si>
    <t>E-03-05.md</t>
  </si>
  <si>
    <t>E-03-06.md</t>
  </si>
  <si>
    <t>F-02-01.md</t>
  </si>
  <si>
    <t>F-02-02.md</t>
  </si>
  <si>
    <t>F-02-03.md</t>
  </si>
  <si>
    <t>F-03-01.md</t>
  </si>
  <si>
    <t>F-04-01.md</t>
  </si>
  <si>
    <t>F-01-01.md</t>
  </si>
  <si>
    <t>页面链接（暂定）</t>
  </si>
  <si>
    <t>（1）页面目的
（2）快速总结 key takeaway
（3）结构预测介绍（是什么，为什么重要）
（4）HelixFold3 亮点介绍
（5）页面导航（标注必选与可选）</t>
  </si>
  <si>
    <t>（1）页面目的
（2）快速总结 key takeaway
（3）小蛋白设计介绍（是什么，为什么重要）
（4）HelixDesign-Binder介绍
（5）页面导航（标注必选与可选）</t>
  </si>
  <si>
    <t>（1）页面目的
（2）快速总结 key takeaway
（3）抗体设计介绍（是什么，为什么重要）
（4）HelixDesign-Antibody 亮点介绍
（5）页面导航（标注必选与可选）</t>
  </si>
  <si>
    <t>（1）页面目的
（2）快速总结 key takeaway
（3）小分子性质预测介绍（是什么，为什么重要）
（4）HelixADMET基线亮点介绍
（5）页面导航（标注必选与可选）</t>
  </si>
  <si>
    <t>（1）页面目的
（2）快速总结 key takeaway
（3）虚拟筛选介绍（是什么，为什么重要）
（4）HelixVS 亮点介绍
（5）页面导航（标注必选与可选）</t>
  </si>
  <si>
    <t>（1）页面目的
（2）快速总结 key takeaway
（3）分子设计介绍（是什么，为什么重要）
（4）HelixVS-Syn 亮点介绍
（5）页面导航（标注必选与可选）</t>
  </si>
  <si>
    <t>（1）页面目的
（2）快速总结 key takeaway
（3）结合自由能介绍（是什么，为什么重要）
（4）MMGBSA 亮点介绍
（5）页面导航（标注必选与可选）</t>
  </si>
  <si>
    <t>（1）页面目的
（2）快速总结 key takeaway
（3）RNA二级结构预测介绍（是什么，为什么重要）
（4）LinearFold &amp; LinearPartition亮点介绍
（5）页面导航（标注必选与可选）</t>
  </si>
  <si>
    <t>（1）页面目的
（2）快速总结 key takeaway
（3）高表达序列设计介绍（是什么，为什么重要）
（4）HelixFold3 亮点介绍
（5）页面导航（标注必选与可选）</t>
  </si>
  <si>
    <t>（1）页面目的
（2）快速总结 key takeaway
（3）UTR设计介绍（是什么，为什么重要）
（4）HelixUTRDesign 亮点介绍
（5）页面导航（标注必选与可选）</t>
  </si>
  <si>
    <t>上手案例</t>
  </si>
  <si>
    <t>C-01-11.md</t>
  </si>
  <si>
    <t>C-01-10-00.md</t>
  </si>
  <si>
    <t>C-01-10-01.md</t>
  </si>
  <si>
    <t>C-01-10-02.md</t>
  </si>
  <si>
    <t>C-01-10-03.md</t>
  </si>
  <si>
    <t>状态</t>
  </si>
  <si>
    <t>✅ 已完成</t>
  </si>
  <si>
    <t>❌ 未开始</t>
  </si>
  <si>
    <t>💼 进行中</t>
  </si>
  <si>
    <t>进度追踪</t>
  </si>
  <si>
    <t>条目状态</t>
  </si>
  <si>
    <t>绝对数量</t>
  </si>
  <si>
    <t>进度</t>
  </si>
  <si>
    <t>API与SDK</t>
  </si>
  <si>
    <t>C-01-12.md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</si>
</sst>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/>
    <xf numFmtId="0" fontId="0" fillId="0" borderId="11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1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" fontId="0" fillId="0" borderId="0" xfId="0" applyNumberForma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11" xfId="0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10E6-1946-F542-A466-949E36C622B4}">
  <dimension ref="A1:P90"/>
  <sheetViews>
    <sheetView tabSelected="1" zoomScale="66" zoomScaleNormal="90" workbookViewId="0">
      <selection activeCell="E22" sqref="E22"/>
    </sheetView>
  </sheetViews>
  <sheetFormatPr baseColWidth="10" defaultRowHeight="16" x14ac:dyDescent="0.2"/>
  <cols>
    <col min="1" max="1" width="18.33203125" bestFit="1" customWidth="1"/>
    <col min="2" max="2" width="20.83203125" bestFit="1" customWidth="1"/>
    <col min="3" max="3" width="30.6640625" style="8" bestFit="1" customWidth="1"/>
    <col min="4" max="5" width="30.6640625" style="8" customWidth="1"/>
    <col min="6" max="6" width="35.6640625" style="8" customWidth="1"/>
    <col min="7" max="7" width="86.1640625" style="8" bestFit="1" customWidth="1"/>
    <col min="8" max="8" width="10.83203125" style="8"/>
    <col min="11" max="11" width="10.83203125" customWidth="1"/>
    <col min="12" max="12" width="14.1640625" bestFit="1" customWidth="1"/>
    <col min="13" max="13" width="20.33203125" bestFit="1" customWidth="1"/>
    <col min="14" max="14" width="30.1640625" bestFit="1" customWidth="1"/>
    <col min="15" max="15" width="18.1640625" customWidth="1"/>
    <col min="16" max="16" width="30.33203125" bestFit="1" customWidth="1"/>
  </cols>
  <sheetData>
    <row r="1" spans="1:16" ht="23" customHeight="1" thickBot="1" x14ac:dyDescent="0.35">
      <c r="A1" s="40" t="s">
        <v>130</v>
      </c>
      <c r="B1" s="41"/>
      <c r="C1" s="41"/>
      <c r="D1" s="41"/>
      <c r="E1" s="41"/>
      <c r="F1" s="41"/>
      <c r="G1" s="41"/>
      <c r="H1" s="42"/>
    </row>
    <row r="2" spans="1:16" ht="18" thickBot="1" x14ac:dyDescent="0.25">
      <c r="A2" s="5" t="s">
        <v>3</v>
      </c>
      <c r="B2" s="6" t="s">
        <v>4</v>
      </c>
      <c r="C2" s="14" t="s">
        <v>5</v>
      </c>
      <c r="D2" s="14" t="s">
        <v>35</v>
      </c>
      <c r="E2" s="14" t="s">
        <v>214</v>
      </c>
      <c r="F2" s="6" t="s">
        <v>8</v>
      </c>
      <c r="G2" s="6" t="s">
        <v>25</v>
      </c>
      <c r="H2" s="19" t="s">
        <v>231</v>
      </c>
      <c r="K2" s="31" t="s">
        <v>235</v>
      </c>
      <c r="L2" s="32"/>
      <c r="M2" s="33"/>
    </row>
    <row r="3" spans="1:16" ht="51" x14ac:dyDescent="0.2">
      <c r="A3" s="24" t="s">
        <v>6</v>
      </c>
      <c r="B3" s="4"/>
      <c r="C3" s="1"/>
      <c r="D3" s="1"/>
      <c r="E3" s="1" t="s">
        <v>133</v>
      </c>
      <c r="F3" s="7" t="s">
        <v>12</v>
      </c>
      <c r="G3" s="8" t="s">
        <v>21</v>
      </c>
      <c r="H3" s="26" t="s">
        <v>232</v>
      </c>
      <c r="K3" s="13" t="s">
        <v>236</v>
      </c>
      <c r="L3" s="14" t="s">
        <v>237</v>
      </c>
      <c r="M3" s="30" t="s">
        <v>238</v>
      </c>
    </row>
    <row r="4" spans="1:16" ht="17" x14ac:dyDescent="0.2">
      <c r="A4" s="22" t="s">
        <v>7</v>
      </c>
      <c r="B4" s="2"/>
      <c r="E4" s="1"/>
      <c r="F4" s="1"/>
      <c r="H4" s="16" t="s">
        <v>234</v>
      </c>
      <c r="K4" s="28" t="s">
        <v>232</v>
      </c>
      <c r="L4">
        <f>COUNTIF($H$3:$H$1048576,"*"&amp;K4&amp;"*")</f>
        <v>5</v>
      </c>
      <c r="M4" s="9">
        <f>L4/SUM($L$4:$L$6)</f>
        <v>5.7471264367816091E-2</v>
      </c>
    </row>
    <row r="5" spans="1:16" x14ac:dyDescent="0.2">
      <c r="A5" s="36" t="s">
        <v>14</v>
      </c>
      <c r="B5" s="10" t="s">
        <v>6</v>
      </c>
      <c r="E5" s="8" t="s">
        <v>134</v>
      </c>
      <c r="G5" s="8" t="s">
        <v>21</v>
      </c>
      <c r="H5" s="16" t="s">
        <v>234</v>
      </c>
      <c r="K5" s="28" t="s">
        <v>234</v>
      </c>
      <c r="L5">
        <f>COUNTIF($H$3:$H$1048576,"*"&amp;K5&amp;"*")</f>
        <v>3</v>
      </c>
      <c r="M5" s="9">
        <f>L5/SUM($L$4:$L$6)</f>
        <v>3.4482758620689655E-2</v>
      </c>
      <c r="O5" s="7"/>
      <c r="P5" s="7"/>
    </row>
    <row r="6" spans="1:16" ht="103" thickBot="1" x14ac:dyDescent="0.25">
      <c r="A6" s="36"/>
      <c r="B6" s="35" t="s">
        <v>26</v>
      </c>
      <c r="C6" s="8" t="s">
        <v>6</v>
      </c>
      <c r="E6" s="8" t="s">
        <v>136</v>
      </c>
      <c r="F6" s="1" t="s">
        <v>215</v>
      </c>
      <c r="G6" s="8" t="s">
        <v>61</v>
      </c>
      <c r="H6" s="16" t="s">
        <v>234</v>
      </c>
      <c r="K6" s="29" t="s">
        <v>233</v>
      </c>
      <c r="L6" s="18">
        <f>COUNTIF($H$3:$H$1048576,"*"&amp;K6&amp;"*")</f>
        <v>79</v>
      </c>
      <c r="M6" s="12">
        <f>L6/SUM($L$4:$L$6)</f>
        <v>0.90804597701149425</v>
      </c>
      <c r="N6" s="8"/>
      <c r="O6" s="7"/>
      <c r="P6" s="7"/>
    </row>
    <row r="7" spans="1:16" ht="102" x14ac:dyDescent="0.2">
      <c r="A7" s="36"/>
      <c r="B7" s="35"/>
      <c r="C7" s="8" t="s">
        <v>36</v>
      </c>
      <c r="E7" s="25" t="s">
        <v>137</v>
      </c>
      <c r="F7" s="1" t="s">
        <v>62</v>
      </c>
      <c r="G7" s="8" t="s">
        <v>63</v>
      </c>
      <c r="H7" s="16" t="s">
        <v>233</v>
      </c>
      <c r="M7" s="8"/>
      <c r="O7" s="7"/>
      <c r="P7" s="7"/>
    </row>
    <row r="8" spans="1:16" ht="51" x14ac:dyDescent="0.2">
      <c r="A8" s="36"/>
      <c r="B8" s="35"/>
      <c r="C8" s="8" t="s">
        <v>37</v>
      </c>
      <c r="E8" s="25" t="s">
        <v>138</v>
      </c>
      <c r="F8" s="1" t="s">
        <v>64</v>
      </c>
      <c r="G8" s="8" t="s">
        <v>65</v>
      </c>
      <c r="H8" s="16" t="s">
        <v>233</v>
      </c>
      <c r="M8" s="8"/>
      <c r="N8" s="7"/>
      <c r="O8" s="7"/>
      <c r="P8" s="1"/>
    </row>
    <row r="9" spans="1:16" ht="68" x14ac:dyDescent="0.2">
      <c r="A9" s="36"/>
      <c r="B9" s="35"/>
      <c r="C9" s="8" t="s">
        <v>38</v>
      </c>
      <c r="E9" s="25" t="s">
        <v>139</v>
      </c>
      <c r="F9" s="1" t="s">
        <v>66</v>
      </c>
      <c r="G9" s="8" t="s">
        <v>67</v>
      </c>
      <c r="H9" s="16" t="s">
        <v>233</v>
      </c>
      <c r="M9" s="8"/>
      <c r="N9" s="8"/>
      <c r="O9" s="7"/>
      <c r="P9" s="1"/>
    </row>
    <row r="10" spans="1:16" ht="34" x14ac:dyDescent="0.2">
      <c r="A10" s="36"/>
      <c r="B10" s="35"/>
      <c r="C10" s="8" t="s">
        <v>68</v>
      </c>
      <c r="E10" s="25" t="s">
        <v>140</v>
      </c>
      <c r="F10" s="1" t="s">
        <v>48</v>
      </c>
      <c r="G10" s="8" t="s">
        <v>72</v>
      </c>
      <c r="H10" s="16" t="s">
        <v>233</v>
      </c>
      <c r="M10" s="8"/>
      <c r="N10" s="8"/>
      <c r="O10" s="7"/>
      <c r="P10" s="1"/>
    </row>
    <row r="11" spans="1:16" ht="34" x14ac:dyDescent="0.2">
      <c r="A11" s="36"/>
      <c r="B11" s="35"/>
      <c r="C11" s="8" t="s">
        <v>69</v>
      </c>
      <c r="E11" s="25" t="s">
        <v>141</v>
      </c>
      <c r="F11" s="1" t="s">
        <v>48</v>
      </c>
      <c r="G11" s="8" t="s">
        <v>73</v>
      </c>
      <c r="H11" s="16" t="s">
        <v>233</v>
      </c>
      <c r="M11" s="10"/>
      <c r="N11" s="8"/>
      <c r="O11" s="7"/>
      <c r="P11" s="1"/>
    </row>
    <row r="12" spans="1:16" ht="102" x14ac:dyDescent="0.2">
      <c r="A12" s="36"/>
      <c r="B12" s="35"/>
      <c r="C12" s="8" t="s">
        <v>44</v>
      </c>
      <c r="E12" s="25" t="s">
        <v>142</v>
      </c>
      <c r="F12" s="1" t="s">
        <v>71</v>
      </c>
      <c r="G12" s="8" t="s">
        <v>74</v>
      </c>
      <c r="H12" s="16" t="s">
        <v>233</v>
      </c>
      <c r="M12" s="10"/>
      <c r="N12" s="8"/>
      <c r="O12" s="7"/>
      <c r="P12" s="1"/>
    </row>
    <row r="13" spans="1:16" ht="51" x14ac:dyDescent="0.2">
      <c r="A13" s="36"/>
      <c r="B13" s="35"/>
      <c r="C13" s="8" t="s">
        <v>45</v>
      </c>
      <c r="E13" s="25" t="s">
        <v>143</v>
      </c>
      <c r="F13" s="1" t="s">
        <v>70</v>
      </c>
      <c r="G13" s="8" t="s">
        <v>75</v>
      </c>
      <c r="H13" s="16" t="s">
        <v>233</v>
      </c>
      <c r="M13" s="10"/>
      <c r="N13" s="8"/>
      <c r="O13" s="7"/>
      <c r="P13" s="1"/>
    </row>
    <row r="14" spans="1:16" ht="34" x14ac:dyDescent="0.2">
      <c r="A14" s="36"/>
      <c r="B14" s="35"/>
      <c r="C14" s="8" t="s">
        <v>39</v>
      </c>
      <c r="E14" s="25" t="s">
        <v>144</v>
      </c>
      <c r="F14" s="1" t="s">
        <v>48</v>
      </c>
      <c r="G14" s="8" t="s">
        <v>76</v>
      </c>
      <c r="H14" s="16" t="s">
        <v>233</v>
      </c>
      <c r="M14" s="35"/>
      <c r="N14" s="8"/>
      <c r="O14" s="7"/>
      <c r="P14" s="1"/>
    </row>
    <row r="15" spans="1:16" ht="34" x14ac:dyDescent="0.2">
      <c r="A15" s="36"/>
      <c r="B15" s="35"/>
      <c r="C15" s="8" t="s">
        <v>46</v>
      </c>
      <c r="E15" s="25" t="s">
        <v>145</v>
      </c>
      <c r="F15" s="1" t="s">
        <v>48</v>
      </c>
      <c r="G15" s="8" t="s">
        <v>77</v>
      </c>
      <c r="H15" s="16" t="s">
        <v>233</v>
      </c>
      <c r="M15" s="35"/>
      <c r="N15" s="8"/>
      <c r="O15" s="7"/>
      <c r="P15" s="1"/>
    </row>
    <row r="16" spans="1:16" ht="17" x14ac:dyDescent="0.2">
      <c r="A16" s="36"/>
      <c r="B16" s="35"/>
      <c r="C16" s="39" t="s">
        <v>225</v>
      </c>
      <c r="D16" s="2" t="s">
        <v>6</v>
      </c>
      <c r="E16" s="8" t="s">
        <v>227</v>
      </c>
      <c r="H16" s="16" t="s">
        <v>232</v>
      </c>
      <c r="M16" s="35"/>
      <c r="N16" s="8"/>
      <c r="O16" s="7"/>
      <c r="P16" s="1"/>
    </row>
    <row r="17" spans="1:16" ht="17" x14ac:dyDescent="0.2">
      <c r="A17" s="36"/>
      <c r="B17" s="35"/>
      <c r="C17" s="39"/>
      <c r="D17" s="2" t="s">
        <v>131</v>
      </c>
      <c r="E17" s="8" t="s">
        <v>228</v>
      </c>
      <c r="H17" s="16" t="s">
        <v>232</v>
      </c>
      <c r="M17" s="35"/>
      <c r="N17" s="8"/>
      <c r="O17" s="7"/>
      <c r="P17" s="1"/>
    </row>
    <row r="18" spans="1:16" ht="17" x14ac:dyDescent="0.2">
      <c r="A18" s="36"/>
      <c r="B18" s="35"/>
      <c r="C18" s="39"/>
      <c r="D18" s="2" t="s">
        <v>132</v>
      </c>
      <c r="E18" s="8" t="s">
        <v>229</v>
      </c>
      <c r="H18" s="16" t="s">
        <v>232</v>
      </c>
      <c r="M18" s="35"/>
      <c r="N18" s="8"/>
      <c r="O18" s="7"/>
      <c r="P18" s="1"/>
    </row>
    <row r="19" spans="1:16" ht="17" x14ac:dyDescent="0.2">
      <c r="A19" s="36"/>
      <c r="B19" s="35"/>
      <c r="C19" s="39"/>
      <c r="D19" s="2" t="s">
        <v>39</v>
      </c>
      <c r="E19" s="8" t="s">
        <v>230</v>
      </c>
      <c r="H19" s="16" t="s">
        <v>232</v>
      </c>
      <c r="M19" s="35"/>
      <c r="N19" s="8"/>
      <c r="O19" s="7"/>
      <c r="P19" s="1"/>
    </row>
    <row r="20" spans="1:16" x14ac:dyDescent="0.2">
      <c r="A20" s="36"/>
      <c r="B20" s="35"/>
      <c r="C20" s="8" t="s">
        <v>239</v>
      </c>
      <c r="E20" s="25" t="s">
        <v>226</v>
      </c>
      <c r="H20" s="16" t="s">
        <v>233</v>
      </c>
      <c r="M20" s="35"/>
      <c r="N20" s="8"/>
      <c r="O20" s="7"/>
      <c r="P20" s="1"/>
    </row>
    <row r="21" spans="1:16" x14ac:dyDescent="0.2">
      <c r="A21" s="36"/>
      <c r="B21" s="10"/>
      <c r="C21" s="8" t="s">
        <v>40</v>
      </c>
      <c r="E21" s="8" t="s">
        <v>240</v>
      </c>
      <c r="F21" s="8" t="s">
        <v>78</v>
      </c>
      <c r="H21" s="16"/>
      <c r="M21" s="10"/>
      <c r="N21" s="8"/>
      <c r="O21" s="7"/>
      <c r="P21" s="1"/>
    </row>
    <row r="22" spans="1:16" ht="102" x14ac:dyDescent="0.2">
      <c r="A22" s="36"/>
      <c r="B22" s="35" t="s">
        <v>27</v>
      </c>
      <c r="C22" s="8" t="s">
        <v>6</v>
      </c>
      <c r="E22" s="8" t="s">
        <v>135</v>
      </c>
      <c r="F22" s="1" t="s">
        <v>216</v>
      </c>
      <c r="G22" s="1" t="s">
        <v>79</v>
      </c>
      <c r="H22" s="16" t="s">
        <v>233</v>
      </c>
      <c r="M22" s="15"/>
      <c r="O22" s="7"/>
      <c r="P22" s="8"/>
    </row>
    <row r="23" spans="1:16" ht="34" x14ac:dyDescent="0.2">
      <c r="A23" s="36"/>
      <c r="B23" s="35"/>
      <c r="C23" s="8" t="s">
        <v>41</v>
      </c>
      <c r="E23" s="8" t="s">
        <v>146</v>
      </c>
      <c r="F23" s="1" t="s">
        <v>48</v>
      </c>
      <c r="G23" s="1" t="s">
        <v>79</v>
      </c>
      <c r="H23" s="16" t="s">
        <v>233</v>
      </c>
      <c r="M23" s="15"/>
      <c r="O23" s="7"/>
      <c r="P23" s="8"/>
    </row>
    <row r="24" spans="1:16" ht="34" x14ac:dyDescent="0.2">
      <c r="A24" s="36"/>
      <c r="B24" s="35"/>
      <c r="C24" s="8" t="s">
        <v>42</v>
      </c>
      <c r="E24" s="8" t="s">
        <v>147</v>
      </c>
      <c r="F24" s="1" t="s">
        <v>48</v>
      </c>
      <c r="G24" s="1" t="s">
        <v>85</v>
      </c>
      <c r="H24" s="16" t="s">
        <v>233</v>
      </c>
      <c r="M24" s="15"/>
      <c r="O24" s="7"/>
      <c r="P24" s="8"/>
    </row>
    <row r="25" spans="1:16" ht="34" x14ac:dyDescent="0.2">
      <c r="A25" s="36"/>
      <c r="B25" s="35"/>
      <c r="C25" s="8" t="s">
        <v>43</v>
      </c>
      <c r="E25" s="8" t="s">
        <v>148</v>
      </c>
      <c r="F25" s="1" t="s">
        <v>48</v>
      </c>
      <c r="G25" s="1" t="s">
        <v>88</v>
      </c>
      <c r="H25" s="16" t="s">
        <v>233</v>
      </c>
      <c r="M25" s="15"/>
      <c r="O25" s="7"/>
      <c r="P25" s="8"/>
    </row>
    <row r="26" spans="1:16" ht="34" x14ac:dyDescent="0.2">
      <c r="A26" s="36"/>
      <c r="B26" s="35"/>
      <c r="C26" s="8" t="s">
        <v>44</v>
      </c>
      <c r="E26" s="8" t="s">
        <v>149</v>
      </c>
      <c r="F26" s="1" t="s">
        <v>48</v>
      </c>
      <c r="G26" s="1" t="s">
        <v>89</v>
      </c>
      <c r="H26" s="16" t="s">
        <v>233</v>
      </c>
    </row>
    <row r="27" spans="1:16" ht="34" x14ac:dyDescent="0.2">
      <c r="A27" s="36"/>
      <c r="B27" s="35"/>
      <c r="C27" s="8" t="s">
        <v>45</v>
      </c>
      <c r="E27" s="8" t="s">
        <v>150</v>
      </c>
      <c r="F27" s="1" t="s">
        <v>48</v>
      </c>
      <c r="G27" s="1" t="s">
        <v>90</v>
      </c>
      <c r="H27" s="16" t="s">
        <v>233</v>
      </c>
      <c r="L27" s="35"/>
      <c r="M27" s="15"/>
      <c r="N27" s="8"/>
      <c r="O27" s="7"/>
      <c r="P27" s="1"/>
    </row>
    <row r="28" spans="1:16" ht="34" x14ac:dyDescent="0.2">
      <c r="A28" s="36"/>
      <c r="B28" s="35"/>
      <c r="C28" s="8" t="s">
        <v>39</v>
      </c>
      <c r="E28" s="8" t="s">
        <v>151</v>
      </c>
      <c r="F28" s="1" t="s">
        <v>48</v>
      </c>
      <c r="G28" s="1" t="s">
        <v>86</v>
      </c>
      <c r="H28" s="16" t="s">
        <v>233</v>
      </c>
      <c r="L28" s="35"/>
      <c r="M28" s="15"/>
      <c r="N28" s="8"/>
      <c r="O28" s="7"/>
      <c r="P28" s="8"/>
    </row>
    <row r="29" spans="1:16" ht="34" x14ac:dyDescent="0.2">
      <c r="A29" s="36"/>
      <c r="B29" s="35"/>
      <c r="C29" s="8" t="s">
        <v>46</v>
      </c>
      <c r="E29" s="8" t="s">
        <v>152</v>
      </c>
      <c r="F29" s="1" t="s">
        <v>48</v>
      </c>
      <c r="G29" s="1" t="s">
        <v>87</v>
      </c>
      <c r="H29" s="16" t="s">
        <v>233</v>
      </c>
      <c r="L29" s="35"/>
      <c r="M29" s="15"/>
      <c r="N29" s="8"/>
      <c r="O29" s="7"/>
      <c r="P29" s="8"/>
    </row>
    <row r="30" spans="1:16" x14ac:dyDescent="0.2">
      <c r="A30" s="36"/>
      <c r="B30" s="35"/>
      <c r="C30" s="8" t="s">
        <v>40</v>
      </c>
      <c r="E30" s="8" t="s">
        <v>153</v>
      </c>
      <c r="F30" s="8" t="s">
        <v>78</v>
      </c>
      <c r="H30" s="16" t="s">
        <v>233</v>
      </c>
      <c r="L30" s="43"/>
      <c r="M30" s="1"/>
      <c r="N30" s="8"/>
      <c r="O30" s="1"/>
    </row>
    <row r="31" spans="1:16" ht="102" x14ac:dyDescent="0.2">
      <c r="A31" s="36"/>
      <c r="B31" s="35" t="s">
        <v>28</v>
      </c>
      <c r="C31" s="8" t="s">
        <v>6</v>
      </c>
      <c r="E31" s="8" t="s">
        <v>154</v>
      </c>
      <c r="F31" s="1" t="s">
        <v>217</v>
      </c>
      <c r="G31" s="1" t="s">
        <v>80</v>
      </c>
      <c r="H31" s="16" t="s">
        <v>233</v>
      </c>
      <c r="L31" s="43"/>
      <c r="M31" s="1"/>
      <c r="N31" s="8"/>
      <c r="O31" s="1"/>
    </row>
    <row r="32" spans="1:16" ht="34" x14ac:dyDescent="0.2">
      <c r="A32" s="36"/>
      <c r="B32" s="35"/>
      <c r="C32" s="8" t="s">
        <v>42</v>
      </c>
      <c r="E32" s="8" t="s">
        <v>155</v>
      </c>
      <c r="F32" s="1" t="s">
        <v>48</v>
      </c>
      <c r="G32" s="1" t="s">
        <v>81</v>
      </c>
      <c r="H32" s="16" t="s">
        <v>233</v>
      </c>
    </row>
    <row r="33" spans="1:8" ht="34" x14ac:dyDescent="0.2">
      <c r="A33" s="36"/>
      <c r="B33" s="35"/>
      <c r="C33" s="8" t="s">
        <v>47</v>
      </c>
      <c r="E33" s="8" t="s">
        <v>156</v>
      </c>
      <c r="F33" s="1" t="s">
        <v>48</v>
      </c>
      <c r="G33" s="1" t="s">
        <v>82</v>
      </c>
      <c r="H33" s="16" t="s">
        <v>233</v>
      </c>
    </row>
    <row r="34" spans="1:8" ht="34" x14ac:dyDescent="0.2">
      <c r="A34" s="36"/>
      <c r="B34" s="35"/>
      <c r="C34" s="8" t="s">
        <v>39</v>
      </c>
      <c r="E34" s="8" t="s">
        <v>157</v>
      </c>
      <c r="F34" s="1" t="s">
        <v>48</v>
      </c>
      <c r="G34" s="1" t="s">
        <v>83</v>
      </c>
      <c r="H34" s="16" t="s">
        <v>233</v>
      </c>
    </row>
    <row r="35" spans="1:8" ht="34" x14ac:dyDescent="0.2">
      <c r="A35" s="36"/>
      <c r="B35" s="35"/>
      <c r="C35" s="8" t="s">
        <v>46</v>
      </c>
      <c r="E35" s="8" t="s">
        <v>158</v>
      </c>
      <c r="F35" s="1" t="s">
        <v>48</v>
      </c>
      <c r="G35" s="1" t="s">
        <v>84</v>
      </c>
      <c r="H35" s="16" t="s">
        <v>233</v>
      </c>
    </row>
    <row r="36" spans="1:8" x14ac:dyDescent="0.2">
      <c r="A36" s="36"/>
      <c r="B36" s="35"/>
      <c r="C36" s="8" t="s">
        <v>40</v>
      </c>
      <c r="E36" s="8" t="s">
        <v>159</v>
      </c>
      <c r="F36" s="8" t="s">
        <v>78</v>
      </c>
      <c r="H36" s="16" t="s">
        <v>233</v>
      </c>
    </row>
    <row r="37" spans="1:8" x14ac:dyDescent="0.2">
      <c r="A37" s="38" t="s">
        <v>15</v>
      </c>
      <c r="B37" s="10" t="s">
        <v>6</v>
      </c>
      <c r="E37" s="8" t="s">
        <v>161</v>
      </c>
      <c r="G37" s="8" t="s">
        <v>21</v>
      </c>
      <c r="H37" s="16" t="s">
        <v>233</v>
      </c>
    </row>
    <row r="38" spans="1:8" ht="102" x14ac:dyDescent="0.2">
      <c r="A38" s="38"/>
      <c r="B38" s="35" t="s">
        <v>49</v>
      </c>
      <c r="C38" s="8" t="s">
        <v>6</v>
      </c>
      <c r="E38" s="8" t="s">
        <v>160</v>
      </c>
      <c r="F38" s="1" t="s">
        <v>218</v>
      </c>
      <c r="G38" s="8" t="s">
        <v>91</v>
      </c>
      <c r="H38" s="16" t="s">
        <v>233</v>
      </c>
    </row>
    <row r="39" spans="1:8" ht="34" x14ac:dyDescent="0.2">
      <c r="A39" s="38"/>
      <c r="B39" s="35"/>
      <c r="C39" s="8" t="s">
        <v>52</v>
      </c>
      <c r="E39" s="25" t="s">
        <v>162</v>
      </c>
      <c r="F39" s="1" t="s">
        <v>48</v>
      </c>
      <c r="G39" s="8" t="s">
        <v>95</v>
      </c>
      <c r="H39" s="16" t="s">
        <v>233</v>
      </c>
    </row>
    <row r="40" spans="1:8" ht="34" x14ac:dyDescent="0.2">
      <c r="A40" s="38"/>
      <c r="B40" s="35"/>
      <c r="C40" s="8" t="s">
        <v>39</v>
      </c>
      <c r="E40" s="25" t="s">
        <v>163</v>
      </c>
      <c r="F40" s="1" t="s">
        <v>48</v>
      </c>
      <c r="G40" s="8" t="s">
        <v>94</v>
      </c>
      <c r="H40" s="16" t="s">
        <v>233</v>
      </c>
    </row>
    <row r="41" spans="1:8" ht="34" x14ac:dyDescent="0.2">
      <c r="A41" s="38"/>
      <c r="B41" s="35"/>
      <c r="C41" s="8" t="s">
        <v>46</v>
      </c>
      <c r="E41" s="25" t="s">
        <v>164</v>
      </c>
      <c r="F41" s="1" t="s">
        <v>48</v>
      </c>
      <c r="G41" s="8" t="s">
        <v>96</v>
      </c>
      <c r="H41" s="16" t="s">
        <v>233</v>
      </c>
    </row>
    <row r="42" spans="1:8" x14ac:dyDescent="0.2">
      <c r="A42" s="38"/>
      <c r="B42" s="35"/>
      <c r="C42" s="8" t="s">
        <v>40</v>
      </c>
      <c r="E42" s="25" t="s">
        <v>184</v>
      </c>
      <c r="F42" s="8" t="s">
        <v>78</v>
      </c>
      <c r="H42" s="16" t="s">
        <v>233</v>
      </c>
    </row>
    <row r="43" spans="1:8" ht="102" x14ac:dyDescent="0.2">
      <c r="A43" s="38"/>
      <c r="B43" s="35" t="s">
        <v>33</v>
      </c>
      <c r="C43" s="8" t="s">
        <v>6</v>
      </c>
      <c r="E43" s="8" t="s">
        <v>165</v>
      </c>
      <c r="F43" s="1" t="s">
        <v>219</v>
      </c>
      <c r="G43" s="8" t="s">
        <v>93</v>
      </c>
      <c r="H43" s="16" t="s">
        <v>233</v>
      </c>
    </row>
    <row r="44" spans="1:8" ht="34" x14ac:dyDescent="0.2">
      <c r="A44" s="38"/>
      <c r="B44" s="35"/>
      <c r="C44" s="8" t="s">
        <v>52</v>
      </c>
      <c r="E44" s="8" t="s">
        <v>166</v>
      </c>
      <c r="F44" s="1" t="s">
        <v>48</v>
      </c>
      <c r="G44" s="8" t="s">
        <v>101</v>
      </c>
      <c r="H44" s="16" t="s">
        <v>233</v>
      </c>
    </row>
    <row r="45" spans="1:8" ht="34" x14ac:dyDescent="0.2">
      <c r="A45" s="38"/>
      <c r="B45" s="35"/>
      <c r="C45" s="8" t="s">
        <v>53</v>
      </c>
      <c r="E45" s="8" t="s">
        <v>167</v>
      </c>
      <c r="F45" s="1" t="s">
        <v>48</v>
      </c>
      <c r="G45" s="8" t="s">
        <v>102</v>
      </c>
      <c r="H45" s="16" t="s">
        <v>233</v>
      </c>
    </row>
    <row r="46" spans="1:8" ht="34" x14ac:dyDescent="0.2">
      <c r="A46" s="38"/>
      <c r="B46" s="35"/>
      <c r="C46" s="8" t="s">
        <v>54</v>
      </c>
      <c r="E46" s="8" t="s">
        <v>168</v>
      </c>
      <c r="F46" s="1" t="s">
        <v>48</v>
      </c>
      <c r="G46" s="8" t="s">
        <v>105</v>
      </c>
      <c r="H46" s="16" t="s">
        <v>233</v>
      </c>
    </row>
    <row r="47" spans="1:8" ht="34" x14ac:dyDescent="0.2">
      <c r="A47" s="38"/>
      <c r="B47" s="35"/>
      <c r="C47" s="8" t="s">
        <v>39</v>
      </c>
      <c r="E47" s="8" t="s">
        <v>169</v>
      </c>
      <c r="F47" s="1" t="s">
        <v>48</v>
      </c>
      <c r="G47" s="8" t="s">
        <v>103</v>
      </c>
      <c r="H47" s="16" t="s">
        <v>233</v>
      </c>
    </row>
    <row r="48" spans="1:8" ht="34" x14ac:dyDescent="0.2">
      <c r="A48" s="38"/>
      <c r="B48" s="35"/>
      <c r="C48" s="8" t="s">
        <v>46</v>
      </c>
      <c r="E48" s="8" t="s">
        <v>170</v>
      </c>
      <c r="F48" s="1" t="s">
        <v>48</v>
      </c>
      <c r="G48" s="8" t="s">
        <v>104</v>
      </c>
      <c r="H48" s="16" t="s">
        <v>233</v>
      </c>
    </row>
    <row r="49" spans="1:8" x14ac:dyDescent="0.2">
      <c r="A49" s="38"/>
      <c r="B49" s="35"/>
      <c r="C49" s="8" t="s">
        <v>40</v>
      </c>
      <c r="E49" s="8" t="s">
        <v>171</v>
      </c>
      <c r="F49" s="8" t="s">
        <v>78</v>
      </c>
      <c r="H49" s="16" t="s">
        <v>233</v>
      </c>
    </row>
    <row r="50" spans="1:8" ht="102" x14ac:dyDescent="0.2">
      <c r="A50" s="38"/>
      <c r="B50" s="35" t="s">
        <v>50</v>
      </c>
      <c r="C50" s="8" t="s">
        <v>6</v>
      </c>
      <c r="E50" s="8" t="s">
        <v>172</v>
      </c>
      <c r="F50" s="1" t="s">
        <v>220</v>
      </c>
      <c r="G50" s="8" t="s">
        <v>92</v>
      </c>
      <c r="H50" s="16" t="s">
        <v>233</v>
      </c>
    </row>
    <row r="51" spans="1:8" ht="34" x14ac:dyDescent="0.2">
      <c r="A51" s="38"/>
      <c r="B51" s="35"/>
      <c r="C51" s="8" t="s">
        <v>52</v>
      </c>
      <c r="E51" s="8" t="s">
        <v>173</v>
      </c>
      <c r="F51" s="1" t="s">
        <v>48</v>
      </c>
      <c r="G51" s="8" t="s">
        <v>97</v>
      </c>
      <c r="H51" s="16" t="s">
        <v>233</v>
      </c>
    </row>
    <row r="52" spans="1:8" ht="34" x14ac:dyDescent="0.2">
      <c r="A52" s="38"/>
      <c r="B52" s="35"/>
      <c r="C52" s="8" t="s">
        <v>53</v>
      </c>
      <c r="E52" s="8" t="s">
        <v>174</v>
      </c>
      <c r="F52" s="1" t="s">
        <v>48</v>
      </c>
      <c r="G52" s="8" t="s">
        <v>99</v>
      </c>
      <c r="H52" s="16" t="s">
        <v>233</v>
      </c>
    </row>
    <row r="53" spans="1:8" ht="34" x14ac:dyDescent="0.2">
      <c r="A53" s="38"/>
      <c r="B53" s="35"/>
      <c r="C53" s="8" t="s">
        <v>56</v>
      </c>
      <c r="E53" s="8" t="s">
        <v>175</v>
      </c>
      <c r="F53" s="1" t="s">
        <v>48</v>
      </c>
      <c r="G53" s="8" t="s">
        <v>106</v>
      </c>
      <c r="H53" s="16" t="s">
        <v>233</v>
      </c>
    </row>
    <row r="54" spans="1:8" ht="34" x14ac:dyDescent="0.2">
      <c r="A54" s="38"/>
      <c r="B54" s="35"/>
      <c r="C54" s="8" t="s">
        <v>57</v>
      </c>
      <c r="E54" s="8" t="s">
        <v>176</v>
      </c>
      <c r="F54" s="1" t="s">
        <v>48</v>
      </c>
      <c r="G54" s="8" t="s">
        <v>107</v>
      </c>
      <c r="H54" s="16" t="s">
        <v>233</v>
      </c>
    </row>
    <row r="55" spans="1:8" ht="34" x14ac:dyDescent="0.2">
      <c r="A55" s="38"/>
      <c r="B55" s="35"/>
      <c r="C55" s="8" t="s">
        <v>39</v>
      </c>
      <c r="E55" s="8" t="s">
        <v>177</v>
      </c>
      <c r="F55" s="1" t="s">
        <v>48</v>
      </c>
      <c r="G55" s="8" t="s">
        <v>98</v>
      </c>
      <c r="H55" s="16" t="s">
        <v>233</v>
      </c>
    </row>
    <row r="56" spans="1:8" ht="34" x14ac:dyDescent="0.2">
      <c r="A56" s="38"/>
      <c r="B56" s="35"/>
      <c r="C56" s="8" t="s">
        <v>46</v>
      </c>
      <c r="E56" s="8" t="s">
        <v>186</v>
      </c>
      <c r="F56" s="1" t="s">
        <v>48</v>
      </c>
      <c r="G56" s="8" t="s">
        <v>100</v>
      </c>
      <c r="H56" s="16" t="s">
        <v>233</v>
      </c>
    </row>
    <row r="57" spans="1:8" x14ac:dyDescent="0.2">
      <c r="A57" s="38"/>
      <c r="B57" s="35"/>
      <c r="C57" s="8" t="s">
        <v>40</v>
      </c>
      <c r="E57" s="8" t="s">
        <v>185</v>
      </c>
      <c r="F57" s="8" t="s">
        <v>78</v>
      </c>
      <c r="H57" s="16" t="s">
        <v>233</v>
      </c>
    </row>
    <row r="58" spans="1:8" ht="102" x14ac:dyDescent="0.2">
      <c r="A58" s="38"/>
      <c r="B58" s="35" t="s">
        <v>51</v>
      </c>
      <c r="C58" s="8" t="s">
        <v>6</v>
      </c>
      <c r="E58" s="8" t="s">
        <v>178</v>
      </c>
      <c r="F58" s="1" t="s">
        <v>221</v>
      </c>
      <c r="G58" s="8" t="s">
        <v>108</v>
      </c>
      <c r="H58" s="16" t="s">
        <v>233</v>
      </c>
    </row>
    <row r="59" spans="1:8" ht="34" x14ac:dyDescent="0.2">
      <c r="A59" s="38"/>
      <c r="B59" s="35"/>
      <c r="C59" s="8" t="s">
        <v>52</v>
      </c>
      <c r="E59" s="8" t="s">
        <v>179</v>
      </c>
      <c r="F59" s="1" t="s">
        <v>48</v>
      </c>
      <c r="G59" s="8" t="s">
        <v>109</v>
      </c>
      <c r="H59" s="16" t="s">
        <v>233</v>
      </c>
    </row>
    <row r="60" spans="1:8" ht="34" x14ac:dyDescent="0.2">
      <c r="A60" s="38"/>
      <c r="B60" s="35"/>
      <c r="C60" s="8" t="s">
        <v>55</v>
      </c>
      <c r="E60" s="8" t="s">
        <v>180</v>
      </c>
      <c r="F60" s="1" t="s">
        <v>48</v>
      </c>
      <c r="G60" s="8" t="s">
        <v>110</v>
      </c>
      <c r="H60" s="16" t="s">
        <v>233</v>
      </c>
    </row>
    <row r="61" spans="1:8" ht="34" x14ac:dyDescent="0.2">
      <c r="A61" s="38"/>
      <c r="B61" s="35"/>
      <c r="C61" s="8" t="s">
        <v>39</v>
      </c>
      <c r="E61" s="8" t="s">
        <v>181</v>
      </c>
      <c r="F61" s="1" t="s">
        <v>48</v>
      </c>
      <c r="G61" s="8" t="s">
        <v>111</v>
      </c>
      <c r="H61" s="16" t="s">
        <v>233</v>
      </c>
    </row>
    <row r="62" spans="1:8" ht="34" x14ac:dyDescent="0.2">
      <c r="A62" s="38"/>
      <c r="B62" s="35"/>
      <c r="C62" s="8" t="s">
        <v>46</v>
      </c>
      <c r="E62" s="8" t="s">
        <v>182</v>
      </c>
      <c r="F62" s="1" t="s">
        <v>48</v>
      </c>
      <c r="G62" s="8" t="s">
        <v>112</v>
      </c>
      <c r="H62" s="16" t="s">
        <v>233</v>
      </c>
    </row>
    <row r="63" spans="1:8" x14ac:dyDescent="0.2">
      <c r="A63" s="38"/>
      <c r="B63" s="35"/>
      <c r="C63" s="8" t="s">
        <v>40</v>
      </c>
      <c r="E63" s="8" t="s">
        <v>183</v>
      </c>
      <c r="F63" s="8" t="s">
        <v>78</v>
      </c>
      <c r="H63" s="16" t="s">
        <v>233</v>
      </c>
    </row>
    <row r="64" spans="1:8" x14ac:dyDescent="0.2">
      <c r="A64" s="37" t="s">
        <v>16</v>
      </c>
      <c r="B64" s="10" t="s">
        <v>6</v>
      </c>
      <c r="E64" s="8" t="s">
        <v>187</v>
      </c>
      <c r="G64" s="8" t="s">
        <v>21</v>
      </c>
      <c r="H64" s="16" t="s">
        <v>233</v>
      </c>
    </row>
    <row r="65" spans="1:8" ht="119" x14ac:dyDescent="0.2">
      <c r="A65" s="37"/>
      <c r="B65" s="35" t="s">
        <v>58</v>
      </c>
      <c r="C65" s="8" t="s">
        <v>6</v>
      </c>
      <c r="E65" s="8" t="s">
        <v>188</v>
      </c>
      <c r="F65" s="1" t="s">
        <v>222</v>
      </c>
      <c r="G65" s="8" t="s">
        <v>113</v>
      </c>
      <c r="H65" s="16" t="s">
        <v>233</v>
      </c>
    </row>
    <row r="66" spans="1:8" ht="102" x14ac:dyDescent="0.2">
      <c r="A66" s="37"/>
      <c r="B66" s="35"/>
      <c r="C66" s="8" t="s">
        <v>36</v>
      </c>
      <c r="E66" s="25" t="s">
        <v>189</v>
      </c>
      <c r="F66" s="1" t="s">
        <v>114</v>
      </c>
      <c r="G66" s="8" t="s">
        <v>113</v>
      </c>
      <c r="H66" s="16" t="s">
        <v>233</v>
      </c>
    </row>
    <row r="67" spans="1:8" ht="34" x14ac:dyDescent="0.2">
      <c r="A67" s="37"/>
      <c r="B67" s="35"/>
      <c r="C67" s="8" t="s">
        <v>52</v>
      </c>
      <c r="E67" s="25" t="s">
        <v>190</v>
      </c>
      <c r="F67" s="1" t="s">
        <v>48</v>
      </c>
      <c r="G67" s="8" t="s">
        <v>115</v>
      </c>
      <c r="H67" s="16" t="s">
        <v>233</v>
      </c>
    </row>
    <row r="68" spans="1:8" ht="34" x14ac:dyDescent="0.2">
      <c r="A68" s="37"/>
      <c r="B68" s="35"/>
      <c r="C68" s="8" t="s">
        <v>55</v>
      </c>
      <c r="E68" s="25" t="s">
        <v>191</v>
      </c>
      <c r="F68" s="1" t="s">
        <v>48</v>
      </c>
      <c r="G68" s="8" t="s">
        <v>116</v>
      </c>
      <c r="H68" s="16" t="s">
        <v>233</v>
      </c>
    </row>
    <row r="69" spans="1:8" ht="34" x14ac:dyDescent="0.2">
      <c r="A69" s="37"/>
      <c r="B69" s="35"/>
      <c r="C69" s="8" t="s">
        <v>39</v>
      </c>
      <c r="E69" s="25" t="s">
        <v>192</v>
      </c>
      <c r="F69" s="1" t="s">
        <v>48</v>
      </c>
      <c r="G69" s="8" t="s">
        <v>117</v>
      </c>
      <c r="H69" s="16" t="s">
        <v>233</v>
      </c>
    </row>
    <row r="70" spans="1:8" ht="34" x14ac:dyDescent="0.2">
      <c r="A70" s="37"/>
      <c r="B70" s="35"/>
      <c r="C70" s="8" t="s">
        <v>46</v>
      </c>
      <c r="E70" s="25" t="s">
        <v>193</v>
      </c>
      <c r="F70" s="1" t="s">
        <v>48</v>
      </c>
      <c r="G70" s="8" t="s">
        <v>118</v>
      </c>
      <c r="H70" s="16" t="s">
        <v>233</v>
      </c>
    </row>
    <row r="71" spans="1:8" x14ac:dyDescent="0.2">
      <c r="A71" s="37"/>
      <c r="B71" s="35"/>
      <c r="C71" s="8" t="s">
        <v>40</v>
      </c>
      <c r="E71" s="25" t="s">
        <v>194</v>
      </c>
      <c r="F71" s="8" t="s">
        <v>78</v>
      </c>
      <c r="H71" s="16" t="s">
        <v>233</v>
      </c>
    </row>
    <row r="72" spans="1:8" ht="102" x14ac:dyDescent="0.2">
      <c r="A72" s="37"/>
      <c r="B72" s="35" t="s">
        <v>59</v>
      </c>
      <c r="C72" s="8" t="s">
        <v>6</v>
      </c>
      <c r="E72" s="8" t="s">
        <v>195</v>
      </c>
      <c r="F72" s="1" t="s">
        <v>223</v>
      </c>
      <c r="G72" s="8" t="s">
        <v>119</v>
      </c>
      <c r="H72" s="16" t="s">
        <v>233</v>
      </c>
    </row>
    <row r="73" spans="1:8" ht="34" x14ac:dyDescent="0.2">
      <c r="A73" s="37"/>
      <c r="B73" s="35"/>
      <c r="C73" s="8" t="s">
        <v>60</v>
      </c>
      <c r="E73" s="8" t="s">
        <v>196</v>
      </c>
      <c r="F73" s="1" t="s">
        <v>48</v>
      </c>
      <c r="G73" s="8" t="s">
        <v>124</v>
      </c>
      <c r="H73" s="16" t="s">
        <v>233</v>
      </c>
    </row>
    <row r="74" spans="1:8" ht="34" x14ac:dyDescent="0.2">
      <c r="A74" s="37"/>
      <c r="B74" s="35"/>
      <c r="C74" s="8" t="s">
        <v>52</v>
      </c>
      <c r="E74" s="8" t="s">
        <v>197</v>
      </c>
      <c r="F74" s="1" t="s">
        <v>48</v>
      </c>
      <c r="G74" s="8" t="s">
        <v>120</v>
      </c>
      <c r="H74" s="16" t="s">
        <v>233</v>
      </c>
    </row>
    <row r="75" spans="1:8" ht="34" x14ac:dyDescent="0.2">
      <c r="A75" s="37"/>
      <c r="B75" s="35"/>
      <c r="C75" s="8" t="s">
        <v>55</v>
      </c>
      <c r="E75" s="8" t="s">
        <v>198</v>
      </c>
      <c r="F75" s="1" t="s">
        <v>48</v>
      </c>
      <c r="G75" s="8" t="s">
        <v>121</v>
      </c>
      <c r="H75" s="16" t="s">
        <v>233</v>
      </c>
    </row>
    <row r="76" spans="1:8" ht="34" x14ac:dyDescent="0.2">
      <c r="A76" s="37"/>
      <c r="B76" s="35"/>
      <c r="C76" s="8" t="s">
        <v>39</v>
      </c>
      <c r="E76" s="8" t="s">
        <v>199</v>
      </c>
      <c r="F76" s="1" t="s">
        <v>48</v>
      </c>
      <c r="G76" s="8" t="s">
        <v>122</v>
      </c>
      <c r="H76" s="16" t="s">
        <v>233</v>
      </c>
    </row>
    <row r="77" spans="1:8" ht="34" x14ac:dyDescent="0.2">
      <c r="A77" s="37"/>
      <c r="B77" s="35"/>
      <c r="C77" s="8" t="s">
        <v>46</v>
      </c>
      <c r="E77" s="8" t="s">
        <v>200</v>
      </c>
      <c r="F77" s="1" t="s">
        <v>48</v>
      </c>
      <c r="G77" s="8" t="s">
        <v>123</v>
      </c>
      <c r="H77" s="16" t="s">
        <v>233</v>
      </c>
    </row>
    <row r="78" spans="1:8" x14ac:dyDescent="0.2">
      <c r="A78" s="37"/>
      <c r="B78" s="35"/>
      <c r="C78" s="8" t="s">
        <v>40</v>
      </c>
      <c r="E78" s="8" t="s">
        <v>201</v>
      </c>
      <c r="F78" s="8" t="s">
        <v>78</v>
      </c>
      <c r="H78" s="16" t="s">
        <v>233</v>
      </c>
    </row>
    <row r="79" spans="1:8" ht="102" x14ac:dyDescent="0.2">
      <c r="A79" s="37"/>
      <c r="B79" s="35" t="s">
        <v>34</v>
      </c>
      <c r="C79" s="8" t="s">
        <v>6</v>
      </c>
      <c r="E79" s="8" t="s">
        <v>202</v>
      </c>
      <c r="F79" s="1" t="s">
        <v>224</v>
      </c>
      <c r="G79" s="8" t="s">
        <v>125</v>
      </c>
      <c r="H79" s="16" t="s">
        <v>233</v>
      </c>
    </row>
    <row r="80" spans="1:8" ht="34" x14ac:dyDescent="0.2">
      <c r="A80" s="37"/>
      <c r="B80" s="35"/>
      <c r="C80" s="8" t="s">
        <v>52</v>
      </c>
      <c r="E80" s="8" t="s">
        <v>203</v>
      </c>
      <c r="F80" s="1" t="s">
        <v>48</v>
      </c>
      <c r="G80" s="8" t="s">
        <v>126</v>
      </c>
      <c r="H80" s="16" t="s">
        <v>233</v>
      </c>
    </row>
    <row r="81" spans="1:8" ht="34" x14ac:dyDescent="0.2">
      <c r="A81" s="37"/>
      <c r="B81" s="35"/>
      <c r="C81" s="8" t="s">
        <v>55</v>
      </c>
      <c r="E81" s="8" t="s">
        <v>204</v>
      </c>
      <c r="F81" s="1" t="s">
        <v>48</v>
      </c>
      <c r="G81" s="8" t="s">
        <v>127</v>
      </c>
      <c r="H81" s="16" t="s">
        <v>233</v>
      </c>
    </row>
    <row r="82" spans="1:8" ht="34" x14ac:dyDescent="0.2">
      <c r="A82" s="37"/>
      <c r="B82" s="35"/>
      <c r="C82" s="8" t="s">
        <v>39</v>
      </c>
      <c r="E82" s="8" t="s">
        <v>205</v>
      </c>
      <c r="F82" s="1" t="s">
        <v>48</v>
      </c>
      <c r="G82" s="8" t="s">
        <v>128</v>
      </c>
      <c r="H82" s="16" t="s">
        <v>233</v>
      </c>
    </row>
    <row r="83" spans="1:8" ht="34" x14ac:dyDescent="0.2">
      <c r="A83" s="37"/>
      <c r="B83" s="35"/>
      <c r="C83" s="8" t="s">
        <v>46</v>
      </c>
      <c r="E83" s="8" t="s">
        <v>206</v>
      </c>
      <c r="F83" s="1" t="s">
        <v>48</v>
      </c>
      <c r="G83" s="8" t="s">
        <v>129</v>
      </c>
      <c r="H83" s="16" t="s">
        <v>233</v>
      </c>
    </row>
    <row r="84" spans="1:8" x14ac:dyDescent="0.2">
      <c r="A84" s="37"/>
      <c r="B84" s="35"/>
      <c r="C84" s="8" t="s">
        <v>40</v>
      </c>
      <c r="E84" s="8" t="s">
        <v>207</v>
      </c>
      <c r="F84" s="8" t="s">
        <v>78</v>
      </c>
      <c r="H84" s="16" t="s">
        <v>233</v>
      </c>
    </row>
    <row r="85" spans="1:8" ht="51" x14ac:dyDescent="0.2">
      <c r="A85" s="23" t="s">
        <v>11</v>
      </c>
      <c r="B85" s="1"/>
      <c r="E85" s="8" t="s">
        <v>213</v>
      </c>
      <c r="F85" s="1" t="s">
        <v>13</v>
      </c>
      <c r="G85" s="8" t="s">
        <v>0</v>
      </c>
      <c r="H85" s="16" t="s">
        <v>233</v>
      </c>
    </row>
    <row r="86" spans="1:8" ht="51" x14ac:dyDescent="0.2">
      <c r="A86" s="34" t="s">
        <v>17</v>
      </c>
      <c r="B86" s="1" t="s">
        <v>18</v>
      </c>
      <c r="E86" s="8" t="s">
        <v>208</v>
      </c>
      <c r="F86" s="7" t="s">
        <v>22</v>
      </c>
      <c r="G86" s="8" t="s">
        <v>30</v>
      </c>
      <c r="H86" s="16" t="s">
        <v>233</v>
      </c>
    </row>
    <row r="87" spans="1:8" ht="51" x14ac:dyDescent="0.2">
      <c r="A87" s="34"/>
      <c r="B87" s="1" t="s">
        <v>19</v>
      </c>
      <c r="E87" s="8" t="s">
        <v>209</v>
      </c>
      <c r="F87" s="7" t="s">
        <v>23</v>
      </c>
      <c r="G87" s="8" t="s">
        <v>31</v>
      </c>
      <c r="H87" s="16" t="s">
        <v>233</v>
      </c>
    </row>
    <row r="88" spans="1:8" ht="51" x14ac:dyDescent="0.2">
      <c r="A88" s="34"/>
      <c r="B88" s="1" t="s">
        <v>20</v>
      </c>
      <c r="E88" s="8" t="s">
        <v>210</v>
      </c>
      <c r="F88" s="7" t="s">
        <v>24</v>
      </c>
      <c r="G88" s="8" t="s">
        <v>32</v>
      </c>
      <c r="H88" s="16" t="s">
        <v>233</v>
      </c>
    </row>
    <row r="89" spans="1:8" ht="34" x14ac:dyDescent="0.2">
      <c r="A89" s="27" t="s">
        <v>1</v>
      </c>
      <c r="B89" s="1"/>
      <c r="E89" s="8" t="s">
        <v>211</v>
      </c>
      <c r="F89" s="1" t="s">
        <v>10</v>
      </c>
      <c r="G89" s="1" t="s">
        <v>29</v>
      </c>
      <c r="H89" s="16" t="s">
        <v>233</v>
      </c>
    </row>
    <row r="90" spans="1:8" ht="52" thickBot="1" x14ac:dyDescent="0.25">
      <c r="A90" s="21" t="s">
        <v>2</v>
      </c>
      <c r="B90" s="3"/>
      <c r="C90" s="11"/>
      <c r="D90" s="11"/>
      <c r="E90" s="11" t="s">
        <v>212</v>
      </c>
      <c r="F90" s="17" t="s">
        <v>9</v>
      </c>
      <c r="G90" s="11"/>
      <c r="H90" s="20" t="s">
        <v>233</v>
      </c>
    </row>
  </sheetData>
  <mergeCells count="20">
    <mergeCell ref="A1:H1"/>
    <mergeCell ref="M14:M20"/>
    <mergeCell ref="L27:L29"/>
    <mergeCell ref="B22:B30"/>
    <mergeCell ref="L30:L31"/>
    <mergeCell ref="B6:B20"/>
    <mergeCell ref="K2:M2"/>
    <mergeCell ref="A86:A88"/>
    <mergeCell ref="B31:B36"/>
    <mergeCell ref="A5:A36"/>
    <mergeCell ref="B38:B42"/>
    <mergeCell ref="B65:B71"/>
    <mergeCell ref="B72:B78"/>
    <mergeCell ref="B79:B84"/>
    <mergeCell ref="A64:A84"/>
    <mergeCell ref="B43:B49"/>
    <mergeCell ref="B50:B57"/>
    <mergeCell ref="B58:B63"/>
    <mergeCell ref="A37:A63"/>
    <mergeCell ref="C16:C19"/>
  </mergeCells>
  <conditionalFormatting sqref="M4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{45666584-3C33-3045-83F5-BE1F2E80107B}</x14:id>
        </ext>
      </extLst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{FAAEA005-7CC8-AA4B-BCA4-501F0ED1E847}</x14:id>
        </ext>
      </extLst>
    </cfRule>
  </conditionalFormatting>
  <conditionalFormatting sqref="M5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{6456F23F-8784-4B41-9CA8-B0D5C482E67E}</x14:id>
        </ext>
      </extLst>
    </cfRule>
  </conditionalFormatting>
  <conditionalFormatting sqref="M5:M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{B03BD646-DC57-BA44-BD01-60C26FD4FDC7}</x14:id>
        </ext>
      </extLst>
    </cfRule>
  </conditionalFormatting>
  <conditionalFormatting sqref="M6">
    <cfRule type="dataBar" priority="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{FE61E0EC-ACE6-7344-91A7-FF720675ACD9}</x14:id>
        </ext>
      </extLst>
    </cfRule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{B6F21BEF-4DA1-A047-AC34-E7EA2A725D7C}</x14:id>
        </ext>
      </extLst>
    </cfRule>
  </conditionalFormatting>
  <dataValidations count="1">
    <dataValidation type="list" allowBlank="1" showInputMessage="1" showErrorMessage="1" sqref="H1:H1048576" xr:uid="{3013370C-CDD4-2F4D-B58B-6AE8882C5585}">
      <formula1>$H$3:$H$5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666584-3C33-3045-83F5-BE1F2E8010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AAEA005-7CC8-AA4B-BCA4-501F0ED1E8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6456F23F-8784-4B41-9CA8-B0D5C482E6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B03BD646-DC57-BA44-BD01-60C26FD4FD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M5:M6</xm:sqref>
        </x14:conditionalFormatting>
        <x14:conditionalFormatting xmlns:xm="http://schemas.microsoft.com/office/excel/2006/main">
          <x14:cfRule type="dataBar" id="{FE61E0EC-ACE6-7344-91A7-FF720675ACD9}">
            <x14:dataBar minLength="0" maxLength="100" gradient="0" direction="rightToLef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F21BEF-4DA1-A047-AC34-E7EA2A725D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PaddleHelix 帮助文档重构-v2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Yuanjin Wang</dc:creator>
  <cp:lastModifiedBy>Yuanjin Wang</cp:lastModifiedBy>
  <cp:lastPrinted>2026-02-03T06:16:09Z</cp:lastPrinted>
  <dcterms:created xsi:type="dcterms:W3CDTF">2026-02-02T03:04:42Z</dcterms:created>
  <dcterms:modified xsi:type="dcterms:W3CDTF">2026-02-11T02:27:44Z</dcterms:modified>
</cp:coreProperties>
</file>